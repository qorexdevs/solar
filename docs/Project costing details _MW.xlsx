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55" windowWidth="16935" windowHeight="5580" activeTab="1"/>
  </bookViews>
  <sheets>
    <sheet name="1 MW - Ground Mounted - HT Sync" sheetId="3" r:id="rId1"/>
    <sheet name="700KW - Ground Mounted - LT Syn" sheetId="4" r:id="rId2"/>
  </sheets>
  <calcPr calcId="124519"/>
</workbook>
</file>

<file path=xl/calcChain.xml><?xml version="1.0" encoding="utf-8"?>
<calcChain xmlns="http://schemas.openxmlformats.org/spreadsheetml/2006/main">
  <c r="I21" i="4"/>
  <c r="J21" s="1"/>
  <c r="J24"/>
  <c r="J23"/>
  <c r="J22"/>
  <c r="I22"/>
  <c r="J20"/>
  <c r="I20"/>
  <c r="I19"/>
  <c r="J19" s="1"/>
  <c r="J18"/>
  <c r="I18"/>
  <c r="I17"/>
  <c r="J17" s="1"/>
  <c r="J16"/>
  <c r="I16"/>
  <c r="I15"/>
  <c r="J15" s="1"/>
  <c r="J14"/>
  <c r="I14"/>
  <c r="I13"/>
  <c r="J13" s="1"/>
  <c r="J12"/>
  <c r="I12"/>
  <c r="I11"/>
  <c r="J11" s="1"/>
  <c r="J10"/>
  <c r="I10"/>
  <c r="G9"/>
  <c r="I9" s="1"/>
  <c r="J9" s="1"/>
  <c r="I8"/>
  <c r="J8" s="1"/>
  <c r="I7"/>
  <c r="J7" s="1"/>
  <c r="I6"/>
  <c r="J6" s="1"/>
  <c r="I5"/>
  <c r="J5" s="1"/>
  <c r="I4"/>
  <c r="J4" s="1"/>
  <c r="I3"/>
  <c r="J3" s="1"/>
  <c r="H3"/>
  <c r="J27" i="3"/>
  <c r="J26"/>
  <c r="I25"/>
  <c r="J25" s="1"/>
  <c r="I24"/>
  <c r="J24" s="1"/>
  <c r="I23"/>
  <c r="J23" s="1"/>
  <c r="I22"/>
  <c r="J22" s="1"/>
  <c r="I21"/>
  <c r="J21" s="1"/>
  <c r="I20"/>
  <c r="J20" s="1"/>
  <c r="I19"/>
  <c r="J19" s="1"/>
  <c r="I18"/>
  <c r="J18" s="1"/>
  <c r="I17"/>
  <c r="J17" s="1"/>
  <c r="I16"/>
  <c r="J16" s="1"/>
  <c r="I15"/>
  <c r="J15" s="1"/>
  <c r="I14"/>
  <c r="J14" s="1"/>
  <c r="I13"/>
  <c r="J13" s="1"/>
  <c r="I12"/>
  <c r="J12" s="1"/>
  <c r="I11"/>
  <c r="J11" s="1"/>
  <c r="I10"/>
  <c r="J10" s="1"/>
  <c r="I9"/>
  <c r="J9" s="1"/>
  <c r="I8"/>
  <c r="J8" s="1"/>
  <c r="I7"/>
  <c r="J7" s="1"/>
  <c r="I6"/>
  <c r="J6" s="1"/>
  <c r="I5"/>
  <c r="J5" s="1"/>
  <c r="I4"/>
  <c r="J4" s="1"/>
  <c r="H3"/>
  <c r="I3" s="1"/>
  <c r="J25" i="4" l="1"/>
  <c r="I28" i="3"/>
  <c r="J3"/>
  <c r="J28" s="1"/>
  <c r="I25" i="4"/>
  <c r="E27" s="1"/>
  <c r="E33" s="1"/>
  <c r="E34" s="1"/>
  <c r="E36" i="3" l="1"/>
  <c r="E37" s="1"/>
  <c r="E30"/>
</calcChain>
</file>

<file path=xl/sharedStrings.xml><?xml version="1.0" encoding="utf-8"?>
<sst xmlns="http://schemas.openxmlformats.org/spreadsheetml/2006/main" count="202" uniqueCount="77">
  <si>
    <t>Description of Supply Items</t>
  </si>
  <si>
    <t>Qty</t>
  </si>
  <si>
    <t>Make</t>
  </si>
  <si>
    <t>Rate</t>
  </si>
  <si>
    <t>Amount</t>
  </si>
  <si>
    <t>GST</t>
  </si>
  <si>
    <t xml:space="preserve">Hot Dip </t>
  </si>
  <si>
    <t>Torq</t>
  </si>
  <si>
    <t>DWC Pipes</t>
  </si>
  <si>
    <t>UV Protected</t>
  </si>
  <si>
    <t>Hardware Misc</t>
  </si>
  <si>
    <t>TOTAL</t>
  </si>
  <si>
    <t>S.NO</t>
  </si>
  <si>
    <t>Other Scope Of Works</t>
  </si>
  <si>
    <t>1000 KW System Cost</t>
  </si>
  <si>
    <t xml:space="preserve">CEIG </t>
  </si>
  <si>
    <t>Module Cleaning System</t>
  </si>
  <si>
    <t>Shed for Inverter and ACDB</t>
  </si>
  <si>
    <t>PER KW RATE</t>
  </si>
  <si>
    <t>Module mounting Penetrating type - 28 MMS Gavanized Structure</t>
  </si>
  <si>
    <t>Galvanized</t>
  </si>
  <si>
    <t>Inverter Stands and ACDB flatform</t>
  </si>
  <si>
    <t xml:space="preserve">1000 KW - Grround Mounted - Bill of Material </t>
  </si>
  <si>
    <t xml:space="preserve">Sl no </t>
  </si>
  <si>
    <t>UOM</t>
  </si>
  <si>
    <t xml:space="preserve">Solar PV Modules </t>
  </si>
  <si>
    <t xml:space="preserve">Solar PV module 540Wp </t>
  </si>
  <si>
    <t>APS/ Premier/N Icon</t>
  </si>
  <si>
    <t>MTR</t>
  </si>
  <si>
    <t xml:space="preserve">Inverters - 250  KW </t>
  </si>
  <si>
    <t>Grid Connect Solar Inverter (1 x 250 KW  800V AC, 50Hz, MPPT), DC:AC = 1.5 max</t>
  </si>
  <si>
    <t xml:space="preserve">Solis/ APS/Polycab </t>
  </si>
  <si>
    <t xml:space="preserve">Nos </t>
  </si>
  <si>
    <t xml:space="preserve">Power Cables </t>
  </si>
  <si>
    <t>1C X 6 Sq.mm. EN Flexible Cu.1.5KV grade Solar Cable                                                                                                (Array Interconnection &amp;  forming string to Inverter)</t>
  </si>
  <si>
    <t>Polycab/Lapp</t>
  </si>
  <si>
    <r>
      <rPr>
        <sz val="10"/>
        <color rgb="FF000000"/>
        <rFont val="Calibri"/>
      </rPr>
      <t xml:space="preserve">3C X 150 </t>
    </r>
    <r>
      <rPr>
        <u/>
        <sz val="10"/>
        <color rgb="FF1155CC"/>
        <rFont val="Calibri"/>
      </rPr>
      <t>Sq.mm</t>
    </r>
    <r>
      <rPr>
        <sz val="10"/>
        <color rgb="FF000000"/>
        <rFont val="Calibri"/>
      </rPr>
      <t xml:space="preserve">   XLPE Armoured Alu. PVC Insulated &amp; PVC Sheathed 1.1 KV FR Grade Cable</t>
    </r>
  </si>
  <si>
    <t xml:space="preserve">Polycab/Universal </t>
  </si>
  <si>
    <t xml:space="preserve">3C X 300 Sq.mm   XLPE Armoured Alu.PVC Insulated &amp; PVC Sheathed 1.1 KV FR Grade Cable </t>
  </si>
  <si>
    <t xml:space="preserve">1C X 16 Sq.mm. 1.1KV FR Flexible Cu.1.1KV Cable  for LA Earthing </t>
  </si>
  <si>
    <t>Panel Mounting Structure</t>
  </si>
  <si>
    <t>KGs</t>
  </si>
  <si>
    <t>Inverter  Mounting Structure</t>
  </si>
  <si>
    <t>Inverter Mounting structure with canopy</t>
  </si>
  <si>
    <t>Reputed make</t>
  </si>
  <si>
    <t xml:space="preserve">Earthing </t>
  </si>
  <si>
    <t xml:space="preserve">Lightning  Arrestor  ESE/Conventional  Type with Counter _Mytrah Version  </t>
  </si>
  <si>
    <t xml:space="preserve">Earthing Kit  40 mm (dia)X 2 M (LG) Copper Bonded  maintenance free Electrode </t>
  </si>
  <si>
    <t>Earthing   Strip Galvanized  Iron , 25 X 3 MM</t>
  </si>
  <si>
    <t>KG</t>
  </si>
  <si>
    <t>Earthing   Strip Galvanized  Iron, 50 X 6 MM</t>
  </si>
  <si>
    <t>Metering and Protection Devices</t>
  </si>
  <si>
    <t xml:space="preserve">Inverter Termination Box - DCDB </t>
  </si>
  <si>
    <t>4 IN 1 OUT AC LTDB 250A 4P MCCB &amp; 1000A ACB with metering &amp; protection devises like SPD,Breakers etc</t>
  </si>
  <si>
    <t>Switch Gear - L&amp;T / Schnider/ Siemens ,Fabricated as per customized design.</t>
  </si>
  <si>
    <t xml:space="preserve">Weather monitoring system </t>
  </si>
  <si>
    <t>SCADA</t>
  </si>
  <si>
    <t xml:space="preserve">Switch Yard </t>
  </si>
  <si>
    <t xml:space="preserve">Step Up Power Transformer - 1200 KVA 0.80/33 KV </t>
  </si>
  <si>
    <t xml:space="preserve">Esanner/... </t>
  </si>
  <si>
    <t xml:space="preserve">VCB Panel 33 KV with Merering &amp; protection  Control </t>
  </si>
  <si>
    <t>CG / ABB</t>
  </si>
  <si>
    <t>HT Swich Yard</t>
  </si>
  <si>
    <t>Services</t>
  </si>
  <si>
    <t>Installation and Commissioning  with Civil Work</t>
  </si>
  <si>
    <t>Wp</t>
  </si>
  <si>
    <t>Design and Engineering</t>
  </si>
  <si>
    <r>
      <rPr>
        <b/>
        <sz val="10"/>
        <color rgb="FF000000"/>
        <rFont val="Calibri"/>
      </rPr>
      <t>Approvals:</t>
    </r>
    <r>
      <rPr>
        <sz val="10"/>
        <color rgb="FF000000"/>
        <rFont val="Calibri"/>
      </rPr>
      <t xml:space="preserve">  NREDCAP, Discom, SLDC &amp; synchronization.. Etc </t>
    </r>
  </si>
  <si>
    <t>Logistics and Storage</t>
  </si>
  <si>
    <t>Transport &amp; Misc</t>
  </si>
  <si>
    <t xml:space="preserve">RS 485 Cable </t>
  </si>
  <si>
    <t xml:space="preserve">700 KW - Grround Mounted - Bill of Material </t>
  </si>
  <si>
    <r>
      <rPr>
        <sz val="10"/>
        <color rgb="FF000000"/>
        <rFont val="Calibri"/>
      </rPr>
      <t xml:space="preserve">3.5C X 150 </t>
    </r>
    <r>
      <rPr>
        <u/>
        <sz val="10"/>
        <color rgb="FF1155CC"/>
        <rFont val="Calibri"/>
      </rPr>
      <t>Sq.mm</t>
    </r>
    <r>
      <rPr>
        <sz val="10"/>
        <color rgb="FF000000"/>
        <rFont val="Calibri"/>
      </rPr>
      <t xml:space="preserve">   XLPE Armoured Alu. PVC Insulated &amp; PVC Sheathed 1.1 KV FR Grade Cable</t>
    </r>
  </si>
  <si>
    <t xml:space="preserve">3.5C X 300 Sq.mm   XLPE Armoured Alu.PVC Insulated &amp; PVC Sheathed 1.1 KV FR Grade Cable </t>
  </si>
  <si>
    <t>4 IN 1 OUT AC LTDB 250A 4P MCCB &amp; 800 A ACB with metering &amp; protection devises like SPD,Breakers etc</t>
  </si>
  <si>
    <r>
      <rPr>
        <b/>
        <sz val="10"/>
        <color rgb="FF000000"/>
        <rFont val="Calibri"/>
      </rPr>
      <t>Approvals:</t>
    </r>
    <r>
      <rPr>
        <sz val="10"/>
        <color rgb="FF000000"/>
        <rFont val="Calibri"/>
      </rPr>
      <t xml:space="preserve">  NREDCAP, Discom, SLDC &amp; synchronization.. Etc </t>
    </r>
  </si>
  <si>
    <t>700 KW System Cost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</si>
</sst>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scheme val="minor"/>
    </font>
    <font>
      <sz val="11"/>
      <name val="Calibri"/>
    </font>
    <font>
      <sz val="10"/>
      <color theme="1"/>
      <name val="Calibri"/>
    </font>
    <font>
      <b/>
      <sz val="12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  <font>
      <u/>
      <sz val="10"/>
      <color rgb="FF000000"/>
      <name val="Calibri"/>
    </font>
    <font>
      <b/>
      <sz val="10"/>
      <color theme="1"/>
      <name val="Calibri"/>
    </font>
    <font>
      <u/>
      <sz val="10"/>
      <color rgb="FF1155C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7DEE8"/>
        <bgColor rgb="FFB7DE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/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2" fontId="2" fillId="0" borderId="3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1" fontId="7" fillId="5" borderId="19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right" vertical="center"/>
    </xf>
    <xf numFmtId="0" fontId="7" fillId="5" borderId="3" xfId="0" applyFont="1" applyFill="1" applyBorder="1" applyAlignment="1">
      <alignment horizontal="right"/>
    </xf>
    <xf numFmtId="1" fontId="7" fillId="5" borderId="0" xfId="0" applyNumberFormat="1" applyFont="1" applyFill="1" applyAlignment="1">
      <alignment horizontal="right" vertical="center"/>
    </xf>
    <xf numFmtId="1" fontId="5" fillId="3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left" vertical="center" wrapText="1"/>
    </xf>
    <xf numFmtId="0" fontId="1" fillId="0" borderId="6" xfId="0" applyFont="1" applyBorder="1"/>
    <xf numFmtId="0" fontId="1" fillId="0" borderId="16" xfId="0" applyFont="1" applyBorder="1"/>
    <xf numFmtId="0" fontId="7" fillId="5" borderId="17" xfId="0" applyFont="1" applyFill="1" applyBorder="1" applyAlignment="1">
      <alignment horizontal="center" vertical="center"/>
    </xf>
    <xf numFmtId="0" fontId="1" fillId="0" borderId="18" xfId="0" applyFont="1" applyBorder="1"/>
    <xf numFmtId="0" fontId="7" fillId="5" borderId="4" xfId="0" applyFont="1" applyFill="1" applyBorder="1" applyAlignment="1">
      <alignment horizontal="right" vertical="center"/>
    </xf>
    <xf numFmtId="0" fontId="1" fillId="0" borderId="20" xfId="0" applyFont="1" applyBorder="1"/>
    <xf numFmtId="0" fontId="1" fillId="0" borderId="5" xfId="0" applyFont="1" applyBorder="1"/>
    <xf numFmtId="0" fontId="7" fillId="5" borderId="0" xfId="0" applyFont="1" applyFill="1" applyAlignment="1">
      <alignment horizontal="right" vertical="center"/>
    </xf>
    <xf numFmtId="0" fontId="0" fillId="0" borderId="0" xfId="0" applyFont="1" applyAlignment="1"/>
    <xf numFmtId="0" fontId="7" fillId="6" borderId="4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3" fillId="3" borderId="0" xfId="0" applyFont="1" applyFill="1" applyAlignment="1">
      <alignment horizontal="left"/>
    </xf>
    <xf numFmtId="0" fontId="5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q.m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q.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961"/>
  <sheetViews>
    <sheetView workbookViewId="0">
      <selection activeCell="O7" sqref="O7"/>
    </sheetView>
  </sheetViews>
  <sheetFormatPr defaultColWidth="14.42578125" defaultRowHeight="15" customHeight="1"/>
  <cols>
    <col min="1" max="1" width="1.42578125" customWidth="1"/>
    <col min="2" max="2" width="5.28515625" customWidth="1"/>
    <col min="3" max="3" width="24.28515625" customWidth="1"/>
    <col min="4" max="4" width="71.7109375" customWidth="1"/>
    <col min="5" max="5" width="18.7109375" customWidth="1"/>
    <col min="6" max="10" width="9.140625" customWidth="1"/>
    <col min="11" max="28" width="9" customWidth="1"/>
  </cols>
  <sheetData>
    <row r="1" spans="1:28" ht="15.75">
      <c r="A1" s="1"/>
      <c r="B1" s="63" t="s">
        <v>22</v>
      </c>
      <c r="C1" s="60"/>
      <c r="D1" s="60"/>
      <c r="E1" s="60"/>
      <c r="F1" s="60"/>
      <c r="G1" s="60"/>
      <c r="H1" s="60"/>
      <c r="I1" s="60"/>
      <c r="J1" s="6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2" t="s">
        <v>23</v>
      </c>
      <c r="C2" s="3"/>
      <c r="D2" s="4" t="s">
        <v>0</v>
      </c>
      <c r="E2" s="5" t="s">
        <v>2</v>
      </c>
      <c r="F2" s="6" t="s">
        <v>24</v>
      </c>
      <c r="G2" s="4" t="s">
        <v>1</v>
      </c>
      <c r="H2" s="5" t="s">
        <v>3</v>
      </c>
      <c r="I2" s="5" t="s">
        <v>4</v>
      </c>
      <c r="J2" s="7" t="s">
        <v>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1" customHeight="1">
      <c r="A3" s="1"/>
      <c r="B3" s="8">
        <v>1</v>
      </c>
      <c r="C3" s="9" t="s">
        <v>25</v>
      </c>
      <c r="D3" s="9" t="s">
        <v>26</v>
      </c>
      <c r="E3" s="10" t="s">
        <v>27</v>
      </c>
      <c r="F3" s="10" t="s">
        <v>28</v>
      </c>
      <c r="G3" s="10">
        <v>1852</v>
      </c>
      <c r="H3" s="11">
        <f>540*13.5</f>
        <v>7290</v>
      </c>
      <c r="I3" s="11">
        <f t="shared" ref="I3:I25" si="0">G3*H3</f>
        <v>13501080</v>
      </c>
      <c r="J3" s="12">
        <f t="shared" ref="J3:J4" si="1">I3*0.12</f>
        <v>1620129.5999999999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1" customHeight="1">
      <c r="A4" s="1"/>
      <c r="B4" s="13">
        <v>2</v>
      </c>
      <c r="C4" s="9" t="s">
        <v>29</v>
      </c>
      <c r="D4" s="14" t="s">
        <v>30</v>
      </c>
      <c r="E4" s="10" t="s">
        <v>31</v>
      </c>
      <c r="F4" s="10" t="s">
        <v>32</v>
      </c>
      <c r="G4" s="15">
        <v>4</v>
      </c>
      <c r="H4" s="11">
        <v>410000</v>
      </c>
      <c r="I4" s="11">
        <f t="shared" si="0"/>
        <v>1640000</v>
      </c>
      <c r="J4" s="16">
        <f t="shared" si="1"/>
        <v>196800</v>
      </c>
      <c r="K4" s="1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2.25" customHeight="1">
      <c r="A5" s="1"/>
      <c r="B5" s="13">
        <v>3</v>
      </c>
      <c r="C5" s="64" t="s">
        <v>33</v>
      </c>
      <c r="D5" s="18" t="s">
        <v>34</v>
      </c>
      <c r="E5" s="19" t="s">
        <v>35</v>
      </c>
      <c r="F5" s="10" t="s">
        <v>28</v>
      </c>
      <c r="G5" s="20">
        <v>10000</v>
      </c>
      <c r="H5" s="21">
        <v>52</v>
      </c>
      <c r="I5" s="11">
        <f t="shared" si="0"/>
        <v>520000</v>
      </c>
      <c r="J5" s="16">
        <f t="shared" ref="J5:J27" si="2">I5*0.18</f>
        <v>93600</v>
      </c>
      <c r="K5" s="1"/>
      <c r="L5" s="1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1" customHeight="1">
      <c r="A6" s="1"/>
      <c r="B6" s="8">
        <v>4</v>
      </c>
      <c r="C6" s="52"/>
      <c r="D6" s="22" t="s">
        <v>36</v>
      </c>
      <c r="E6" s="19" t="s">
        <v>37</v>
      </c>
      <c r="F6" s="10" t="s">
        <v>28</v>
      </c>
      <c r="G6" s="23">
        <v>500</v>
      </c>
      <c r="H6" s="21">
        <v>680</v>
      </c>
      <c r="I6" s="11">
        <f t="shared" si="0"/>
        <v>340000</v>
      </c>
      <c r="J6" s="16">
        <f t="shared" si="2"/>
        <v>61200</v>
      </c>
      <c r="K6" s="1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1" customHeight="1">
      <c r="A7" s="1"/>
      <c r="B7" s="13">
        <v>5</v>
      </c>
      <c r="C7" s="52"/>
      <c r="D7" s="24" t="s">
        <v>38</v>
      </c>
      <c r="E7" s="19" t="s">
        <v>37</v>
      </c>
      <c r="F7" s="10" t="s">
        <v>28</v>
      </c>
      <c r="G7" s="23">
        <v>60</v>
      </c>
      <c r="H7" s="21">
        <v>1250</v>
      </c>
      <c r="I7" s="11">
        <f t="shared" si="0"/>
        <v>75000</v>
      </c>
      <c r="J7" s="16">
        <f t="shared" si="2"/>
        <v>13500</v>
      </c>
      <c r="K7" s="1"/>
      <c r="L7" s="1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1" customHeight="1">
      <c r="A8" s="1"/>
      <c r="B8" s="13">
        <v>6</v>
      </c>
      <c r="C8" s="53"/>
      <c r="D8" s="18" t="s">
        <v>39</v>
      </c>
      <c r="E8" s="19" t="s">
        <v>37</v>
      </c>
      <c r="F8" s="10" t="s">
        <v>28</v>
      </c>
      <c r="G8" s="10">
        <v>60</v>
      </c>
      <c r="H8" s="21">
        <v>300</v>
      </c>
      <c r="I8" s="11">
        <f t="shared" si="0"/>
        <v>18000</v>
      </c>
      <c r="J8" s="16">
        <f t="shared" si="2"/>
        <v>3240</v>
      </c>
      <c r="K8" s="1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1" customHeight="1">
      <c r="A9" s="1"/>
      <c r="B9" s="8">
        <v>7</v>
      </c>
      <c r="C9" s="9" t="s">
        <v>40</v>
      </c>
      <c r="D9" s="14" t="s">
        <v>19</v>
      </c>
      <c r="E9" s="15" t="s">
        <v>20</v>
      </c>
      <c r="F9" s="10" t="s">
        <v>41</v>
      </c>
      <c r="G9" s="10">
        <v>25000</v>
      </c>
      <c r="H9" s="21">
        <v>100</v>
      </c>
      <c r="I9" s="11">
        <f t="shared" si="0"/>
        <v>2500000</v>
      </c>
      <c r="J9" s="16">
        <f t="shared" si="2"/>
        <v>450000</v>
      </c>
      <c r="K9" s="1"/>
      <c r="L9" s="1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7.75" customHeight="1">
      <c r="A10" s="1"/>
      <c r="B10" s="13">
        <v>8</v>
      </c>
      <c r="C10" s="25" t="s">
        <v>42</v>
      </c>
      <c r="D10" s="26" t="s">
        <v>43</v>
      </c>
      <c r="E10" s="21" t="s">
        <v>44</v>
      </c>
      <c r="F10" s="27" t="s">
        <v>32</v>
      </c>
      <c r="G10" s="27">
        <v>4</v>
      </c>
      <c r="H10" s="21">
        <v>8000</v>
      </c>
      <c r="I10" s="11">
        <f t="shared" si="0"/>
        <v>32000</v>
      </c>
      <c r="J10" s="16">
        <f t="shared" si="2"/>
        <v>5760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1" customHeight="1">
      <c r="A11" s="1"/>
      <c r="B11" s="13">
        <v>9</v>
      </c>
      <c r="C11" s="51" t="s">
        <v>45</v>
      </c>
      <c r="D11" s="24" t="s">
        <v>46</v>
      </c>
      <c r="E11" s="28" t="s">
        <v>7</v>
      </c>
      <c r="F11" s="10" t="s">
        <v>32</v>
      </c>
      <c r="G11" s="27">
        <v>2</v>
      </c>
      <c r="H11" s="21">
        <v>32000</v>
      </c>
      <c r="I11" s="11">
        <f t="shared" si="0"/>
        <v>64000</v>
      </c>
      <c r="J11" s="16">
        <f t="shared" si="2"/>
        <v>11520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1" customHeight="1">
      <c r="A12" s="1"/>
      <c r="B12" s="8">
        <v>10</v>
      </c>
      <c r="C12" s="52"/>
      <c r="D12" s="24" t="s">
        <v>47</v>
      </c>
      <c r="E12" s="19" t="s">
        <v>44</v>
      </c>
      <c r="F12" s="10" t="s">
        <v>28</v>
      </c>
      <c r="G12" s="27">
        <v>18</v>
      </c>
      <c r="H12" s="11">
        <v>3000</v>
      </c>
      <c r="I12" s="11">
        <f t="shared" si="0"/>
        <v>54000</v>
      </c>
      <c r="J12" s="16">
        <f t="shared" si="2"/>
        <v>9720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1" customHeight="1">
      <c r="A13" s="1"/>
      <c r="B13" s="13">
        <v>11</v>
      </c>
      <c r="C13" s="52"/>
      <c r="D13" s="24" t="s">
        <v>48</v>
      </c>
      <c r="E13" s="28" t="s">
        <v>6</v>
      </c>
      <c r="F13" s="10" t="s">
        <v>49</v>
      </c>
      <c r="G13" s="23">
        <v>1500</v>
      </c>
      <c r="H13" s="11">
        <v>82</v>
      </c>
      <c r="I13" s="11">
        <f t="shared" si="0"/>
        <v>123000</v>
      </c>
      <c r="J13" s="16">
        <f t="shared" si="2"/>
        <v>22140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1" customHeight="1">
      <c r="A14" s="1"/>
      <c r="B14" s="13">
        <v>12</v>
      </c>
      <c r="C14" s="53"/>
      <c r="D14" s="24" t="s">
        <v>50</v>
      </c>
      <c r="E14" s="19" t="s">
        <v>44</v>
      </c>
      <c r="F14" s="10" t="s">
        <v>41</v>
      </c>
      <c r="G14" s="23">
        <v>500</v>
      </c>
      <c r="H14" s="11">
        <v>150</v>
      </c>
      <c r="I14" s="11">
        <f t="shared" si="0"/>
        <v>75000</v>
      </c>
      <c r="J14" s="16">
        <f t="shared" si="2"/>
        <v>13500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1" customHeight="1">
      <c r="A15" s="1"/>
      <c r="B15" s="8">
        <v>13</v>
      </c>
      <c r="C15" s="65" t="s">
        <v>51</v>
      </c>
      <c r="D15" s="25" t="s">
        <v>52</v>
      </c>
      <c r="E15" s="10" t="s">
        <v>44</v>
      </c>
      <c r="F15" s="10" t="s">
        <v>32</v>
      </c>
      <c r="G15" s="15">
        <v>4</v>
      </c>
      <c r="H15" s="11">
        <v>55000</v>
      </c>
      <c r="I15" s="11">
        <f t="shared" si="0"/>
        <v>220000</v>
      </c>
      <c r="J15" s="16">
        <f t="shared" si="2"/>
        <v>39600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30.75" customHeight="1">
      <c r="A16" s="1"/>
      <c r="B16" s="13">
        <v>14</v>
      </c>
      <c r="C16" s="52"/>
      <c r="D16" s="18" t="s">
        <v>53</v>
      </c>
      <c r="E16" s="19" t="s">
        <v>54</v>
      </c>
      <c r="F16" s="10" t="s">
        <v>32</v>
      </c>
      <c r="G16" s="20">
        <v>1</v>
      </c>
      <c r="H16" s="11">
        <v>500000</v>
      </c>
      <c r="I16" s="11">
        <f t="shared" si="0"/>
        <v>500000</v>
      </c>
      <c r="J16" s="16">
        <f t="shared" si="2"/>
        <v>90000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1" customHeight="1">
      <c r="A17" s="1"/>
      <c r="B17" s="13">
        <v>15</v>
      </c>
      <c r="C17" s="52"/>
      <c r="D17" s="26" t="s">
        <v>55</v>
      </c>
      <c r="E17" s="21" t="s">
        <v>44</v>
      </c>
      <c r="F17" s="21" t="s">
        <v>32</v>
      </c>
      <c r="G17" s="21">
        <v>1</v>
      </c>
      <c r="H17" s="29">
        <v>100000</v>
      </c>
      <c r="I17" s="11">
        <f t="shared" si="0"/>
        <v>100000</v>
      </c>
      <c r="J17" s="16">
        <f t="shared" si="2"/>
        <v>18000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1" customHeight="1">
      <c r="A18" s="1"/>
      <c r="B18" s="8">
        <v>16</v>
      </c>
      <c r="C18" s="53"/>
      <c r="D18" s="30" t="s">
        <v>56</v>
      </c>
      <c r="E18" s="21" t="s">
        <v>44</v>
      </c>
      <c r="F18" s="21" t="s">
        <v>32</v>
      </c>
      <c r="G18" s="21">
        <v>1</v>
      </c>
      <c r="H18" s="29">
        <v>200000</v>
      </c>
      <c r="I18" s="11">
        <f t="shared" si="0"/>
        <v>200000</v>
      </c>
      <c r="J18" s="16">
        <f t="shared" si="2"/>
        <v>36000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1" customHeight="1">
      <c r="A19" s="1"/>
      <c r="B19" s="13">
        <v>17</v>
      </c>
      <c r="C19" s="66" t="s">
        <v>57</v>
      </c>
      <c r="D19" s="9" t="s">
        <v>58</v>
      </c>
      <c r="E19" s="10" t="s">
        <v>59</v>
      </c>
      <c r="F19" s="10" t="s">
        <v>32</v>
      </c>
      <c r="G19" s="15">
        <v>1</v>
      </c>
      <c r="H19" s="11">
        <v>1600000</v>
      </c>
      <c r="I19" s="11">
        <f t="shared" si="0"/>
        <v>1600000</v>
      </c>
      <c r="J19" s="16">
        <f t="shared" si="2"/>
        <v>288000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1" customHeight="1">
      <c r="A20" s="1"/>
      <c r="B20" s="13">
        <v>18</v>
      </c>
      <c r="C20" s="52"/>
      <c r="D20" s="9" t="s">
        <v>60</v>
      </c>
      <c r="E20" s="10" t="s">
        <v>61</v>
      </c>
      <c r="F20" s="10" t="s">
        <v>32</v>
      </c>
      <c r="G20" s="15">
        <v>1</v>
      </c>
      <c r="H20" s="11">
        <v>700000</v>
      </c>
      <c r="I20" s="11">
        <f t="shared" si="0"/>
        <v>700000</v>
      </c>
      <c r="J20" s="16">
        <f t="shared" si="2"/>
        <v>126000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1" customHeight="1">
      <c r="A21" s="1"/>
      <c r="B21" s="8">
        <v>19</v>
      </c>
      <c r="C21" s="53"/>
      <c r="D21" s="25" t="s">
        <v>62</v>
      </c>
      <c r="E21" s="21" t="s">
        <v>44</v>
      </c>
      <c r="F21" s="10" t="s">
        <v>32</v>
      </c>
      <c r="G21" s="21">
        <v>1</v>
      </c>
      <c r="H21" s="21">
        <v>500000</v>
      </c>
      <c r="I21" s="11">
        <f t="shared" si="0"/>
        <v>500000</v>
      </c>
      <c r="J21" s="16">
        <f t="shared" si="2"/>
        <v>90000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1" customHeight="1">
      <c r="A22" s="1"/>
      <c r="B22" s="13">
        <v>20</v>
      </c>
      <c r="C22" s="51" t="s">
        <v>63</v>
      </c>
      <c r="D22" s="24" t="s">
        <v>64</v>
      </c>
      <c r="E22" s="21" t="s">
        <v>44</v>
      </c>
      <c r="F22" s="27" t="s">
        <v>65</v>
      </c>
      <c r="G22" s="27">
        <v>1000000</v>
      </c>
      <c r="H22" s="29">
        <v>2.75</v>
      </c>
      <c r="I22" s="11">
        <f t="shared" si="0"/>
        <v>2750000</v>
      </c>
      <c r="J22" s="16">
        <f t="shared" si="2"/>
        <v>495000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1" customHeight="1">
      <c r="A23" s="1"/>
      <c r="B23" s="13">
        <v>21</v>
      </c>
      <c r="C23" s="52"/>
      <c r="D23" s="26" t="s">
        <v>66</v>
      </c>
      <c r="E23" s="21" t="s">
        <v>44</v>
      </c>
      <c r="F23" s="27" t="s">
        <v>65</v>
      </c>
      <c r="G23" s="27">
        <v>1000000</v>
      </c>
      <c r="H23" s="29">
        <v>0.2</v>
      </c>
      <c r="I23" s="11">
        <f t="shared" si="0"/>
        <v>200000</v>
      </c>
      <c r="J23" s="16">
        <f t="shared" si="2"/>
        <v>36000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1" customHeight="1">
      <c r="A24" s="1"/>
      <c r="B24" s="8">
        <v>22</v>
      </c>
      <c r="C24" s="53"/>
      <c r="D24" s="24" t="s">
        <v>67</v>
      </c>
      <c r="E24" s="21" t="s">
        <v>44</v>
      </c>
      <c r="F24" s="27" t="s">
        <v>65</v>
      </c>
      <c r="G24" s="27">
        <v>700000</v>
      </c>
      <c r="H24" s="29">
        <v>1</v>
      </c>
      <c r="I24" s="11">
        <f t="shared" si="0"/>
        <v>700000</v>
      </c>
      <c r="J24" s="16">
        <f t="shared" si="2"/>
        <v>126000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1" customHeight="1">
      <c r="A25" s="1"/>
      <c r="B25" s="13">
        <v>23</v>
      </c>
      <c r="C25" s="25" t="s">
        <v>8</v>
      </c>
      <c r="D25" s="31" t="s">
        <v>8</v>
      </c>
      <c r="E25" s="11" t="s">
        <v>9</v>
      </c>
      <c r="F25" s="21" t="s">
        <v>28</v>
      </c>
      <c r="G25" s="11">
        <v>1600</v>
      </c>
      <c r="H25" s="32">
        <v>45</v>
      </c>
      <c r="I25" s="11">
        <f t="shared" si="0"/>
        <v>72000</v>
      </c>
      <c r="J25" s="16">
        <f t="shared" si="2"/>
        <v>12960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1" customHeight="1">
      <c r="A26" s="1"/>
      <c r="B26" s="13">
        <v>24</v>
      </c>
      <c r="C26" s="25" t="s">
        <v>10</v>
      </c>
      <c r="D26" s="31" t="s">
        <v>10</v>
      </c>
      <c r="E26" s="21" t="s">
        <v>44</v>
      </c>
      <c r="F26" s="11"/>
      <c r="G26" s="11"/>
      <c r="H26" s="11"/>
      <c r="I26" s="11">
        <v>200000</v>
      </c>
      <c r="J26" s="16">
        <f t="shared" si="2"/>
        <v>36000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1" customHeight="1">
      <c r="A27" s="1"/>
      <c r="B27" s="33">
        <v>25</v>
      </c>
      <c r="C27" s="34" t="s">
        <v>68</v>
      </c>
      <c r="D27" s="34" t="s">
        <v>69</v>
      </c>
      <c r="E27" s="35" t="s">
        <v>44</v>
      </c>
      <c r="F27" s="36"/>
      <c r="G27" s="36"/>
      <c r="H27" s="36"/>
      <c r="I27" s="36">
        <v>100000</v>
      </c>
      <c r="J27" s="37">
        <f t="shared" si="2"/>
        <v>18000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A28" s="1"/>
      <c r="B28" s="38"/>
      <c r="C28" s="38"/>
      <c r="D28" s="38"/>
      <c r="E28" s="38"/>
      <c r="F28" s="38"/>
      <c r="G28" s="54" t="s">
        <v>11</v>
      </c>
      <c r="H28" s="55"/>
      <c r="I28" s="39">
        <f t="shared" ref="I28:J28" si="3">SUM(I3:I27)</f>
        <v>26784080</v>
      </c>
      <c r="J28" s="40">
        <f t="shared" si="3"/>
        <v>3912669.5999999996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1"/>
      <c r="B29" s="41" t="s">
        <v>12</v>
      </c>
      <c r="C29" s="61" t="s">
        <v>13</v>
      </c>
      <c r="D29" s="58"/>
      <c r="E29" s="42" t="s">
        <v>4</v>
      </c>
      <c r="F29" s="4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A30" s="1"/>
      <c r="B30" s="11">
        <v>1</v>
      </c>
      <c r="C30" s="62" t="s">
        <v>14</v>
      </c>
      <c r="D30" s="58"/>
      <c r="E30" s="44">
        <f>I28</f>
        <v>26784080</v>
      </c>
      <c r="F30" s="4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1"/>
      <c r="B31" s="11">
        <v>2</v>
      </c>
      <c r="C31" s="62" t="s">
        <v>15</v>
      </c>
      <c r="D31" s="58"/>
      <c r="E31" s="46">
        <v>130000</v>
      </c>
      <c r="F31" s="3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1"/>
      <c r="B32" s="11">
        <v>3</v>
      </c>
      <c r="C32" s="62" t="s">
        <v>16</v>
      </c>
      <c r="D32" s="58"/>
      <c r="E32" s="46">
        <v>70000</v>
      </c>
      <c r="F32" s="3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>
      <c r="A33" s="1"/>
      <c r="B33" s="21">
        <v>4</v>
      </c>
      <c r="C33" s="62" t="s">
        <v>21</v>
      </c>
      <c r="D33" s="58"/>
      <c r="E33" s="46">
        <v>50000</v>
      </c>
      <c r="F33" s="3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>
      <c r="A34" s="1"/>
      <c r="B34" s="21">
        <v>5</v>
      </c>
      <c r="C34" s="62" t="s">
        <v>17</v>
      </c>
      <c r="D34" s="58"/>
      <c r="E34" s="46">
        <v>35000</v>
      </c>
      <c r="F34" s="3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1"/>
      <c r="B35" s="21">
        <v>6</v>
      </c>
      <c r="C35" s="62" t="s">
        <v>70</v>
      </c>
      <c r="D35" s="58"/>
      <c r="E35" s="46">
        <v>50000</v>
      </c>
      <c r="F35" s="3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>
      <c r="A36" s="1"/>
      <c r="B36" s="56" t="s">
        <v>11</v>
      </c>
      <c r="C36" s="57"/>
      <c r="D36" s="58"/>
      <c r="E36" s="47">
        <f>SUM(E30:E35)</f>
        <v>27119080</v>
      </c>
      <c r="F36" s="4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>
      <c r="A37" s="1"/>
      <c r="B37" s="59" t="s">
        <v>18</v>
      </c>
      <c r="C37" s="60"/>
      <c r="D37" s="60"/>
      <c r="E37" s="48">
        <f>E36/1000</f>
        <v>27119.08</v>
      </c>
      <c r="F37" s="3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</sheetData>
  <mergeCells count="16">
    <mergeCell ref="B1:J1"/>
    <mergeCell ref="C5:C8"/>
    <mergeCell ref="C11:C14"/>
    <mergeCell ref="C15:C18"/>
    <mergeCell ref="C19:C21"/>
    <mergeCell ref="C22:C24"/>
    <mergeCell ref="G28:H28"/>
    <mergeCell ref="B36:D36"/>
    <mergeCell ref="B37:D37"/>
    <mergeCell ref="C29:D29"/>
    <mergeCell ref="C30:D30"/>
    <mergeCell ref="C31:D31"/>
    <mergeCell ref="C32:D32"/>
    <mergeCell ref="C33:D33"/>
    <mergeCell ref="C34:D34"/>
    <mergeCell ref="C35:D35"/>
  </mergeCells>
  <hyperlinks>
    <hyperlink ref="D6" r:id="rId1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958"/>
  <sheetViews>
    <sheetView tabSelected="1" workbookViewId="0">
      <selection activeCell="M15" sqref="M14:M15"/>
    </sheetView>
  </sheetViews>
  <sheetFormatPr defaultColWidth="14.42578125" defaultRowHeight="15" customHeight="1"/>
  <cols>
    <col min="1" max="1" width="1.42578125" customWidth="1"/>
    <col min="2" max="2" width="5.28515625" customWidth="1"/>
    <col min="3" max="3" width="24.28515625" customWidth="1"/>
    <col min="4" max="4" width="71.7109375" customWidth="1"/>
    <col min="5" max="5" width="18.7109375" customWidth="1"/>
    <col min="6" max="10" width="9.140625" customWidth="1"/>
    <col min="11" max="28" width="9" customWidth="1"/>
  </cols>
  <sheetData>
    <row r="1" spans="1:28" ht="15.75">
      <c r="A1" s="1"/>
      <c r="B1" s="63" t="s">
        <v>71</v>
      </c>
      <c r="C1" s="60"/>
      <c r="D1" s="60"/>
      <c r="E1" s="60"/>
      <c r="F1" s="60"/>
      <c r="G1" s="60"/>
      <c r="H1" s="60"/>
      <c r="I1" s="60"/>
      <c r="J1" s="6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2" t="s">
        <v>23</v>
      </c>
      <c r="C2" s="3"/>
      <c r="D2" s="4" t="s">
        <v>0</v>
      </c>
      <c r="E2" s="5" t="s">
        <v>2</v>
      </c>
      <c r="F2" s="6" t="s">
        <v>24</v>
      </c>
      <c r="G2" s="4" t="s">
        <v>1</v>
      </c>
      <c r="H2" s="5" t="s">
        <v>3</v>
      </c>
      <c r="I2" s="5" t="s">
        <v>4</v>
      </c>
      <c r="J2" s="7" t="s">
        <v>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1" customHeight="1">
      <c r="A3" s="1"/>
      <c r="B3" s="8">
        <v>1</v>
      </c>
      <c r="C3" s="9" t="s">
        <v>25</v>
      </c>
      <c r="D3" s="9" t="s">
        <v>26</v>
      </c>
      <c r="E3" s="10" t="s">
        <v>27</v>
      </c>
      <c r="F3" s="10" t="s">
        <v>28</v>
      </c>
      <c r="G3" s="49">
        <v>1296</v>
      </c>
      <c r="H3" s="11">
        <f>540*13.5</f>
        <v>7290</v>
      </c>
      <c r="I3" s="11">
        <f t="shared" ref="I3:I22" si="0">G3*H3</f>
        <v>9447840</v>
      </c>
      <c r="J3" s="12">
        <f t="shared" ref="J3:J4" si="1">I3*0.12</f>
        <v>1133740.8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1" customHeight="1">
      <c r="A4" s="1"/>
      <c r="B4" s="13">
        <v>2</v>
      </c>
      <c r="C4" s="9" t="s">
        <v>29</v>
      </c>
      <c r="D4" s="14" t="s">
        <v>30</v>
      </c>
      <c r="E4" s="10" t="s">
        <v>31</v>
      </c>
      <c r="F4" s="10" t="s">
        <v>32</v>
      </c>
      <c r="G4" s="10">
        <v>3</v>
      </c>
      <c r="H4" s="11">
        <v>410000</v>
      </c>
      <c r="I4" s="11">
        <f t="shared" si="0"/>
        <v>1230000</v>
      </c>
      <c r="J4" s="16">
        <f t="shared" si="1"/>
        <v>147600</v>
      </c>
      <c r="K4" s="1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2.25" customHeight="1">
      <c r="A5" s="1"/>
      <c r="B5" s="13">
        <v>3</v>
      </c>
      <c r="C5" s="64" t="s">
        <v>33</v>
      </c>
      <c r="D5" s="18" t="s">
        <v>34</v>
      </c>
      <c r="E5" s="19" t="s">
        <v>35</v>
      </c>
      <c r="F5" s="10" t="s">
        <v>28</v>
      </c>
      <c r="G5" s="50">
        <v>7500</v>
      </c>
      <c r="H5" s="21">
        <v>52</v>
      </c>
      <c r="I5" s="11">
        <f t="shared" si="0"/>
        <v>390000</v>
      </c>
      <c r="J5" s="16">
        <f t="shared" ref="J5:J24" si="2">I5*0.18</f>
        <v>70200</v>
      </c>
      <c r="K5" s="1"/>
      <c r="L5" s="1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1" customHeight="1">
      <c r="A6" s="1"/>
      <c r="B6" s="8">
        <v>4</v>
      </c>
      <c r="C6" s="52"/>
      <c r="D6" s="22" t="s">
        <v>72</v>
      </c>
      <c r="E6" s="19" t="s">
        <v>37</v>
      </c>
      <c r="F6" s="10" t="s">
        <v>28</v>
      </c>
      <c r="G6" s="27">
        <v>300</v>
      </c>
      <c r="H6" s="21">
        <v>675</v>
      </c>
      <c r="I6" s="11">
        <f t="shared" si="0"/>
        <v>202500</v>
      </c>
      <c r="J6" s="16">
        <f t="shared" si="2"/>
        <v>36450</v>
      </c>
      <c r="K6" s="1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1" customHeight="1">
      <c r="A7" s="1"/>
      <c r="B7" s="13">
        <v>5</v>
      </c>
      <c r="C7" s="52"/>
      <c r="D7" s="24" t="s">
        <v>73</v>
      </c>
      <c r="E7" s="19" t="s">
        <v>37</v>
      </c>
      <c r="F7" s="10" t="s">
        <v>28</v>
      </c>
      <c r="G7" s="27">
        <v>60</v>
      </c>
      <c r="H7" s="21">
        <v>1250</v>
      </c>
      <c r="I7" s="11">
        <f t="shared" si="0"/>
        <v>75000</v>
      </c>
      <c r="J7" s="16">
        <f t="shared" si="2"/>
        <v>13500</v>
      </c>
      <c r="K7" s="1"/>
      <c r="L7" s="1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1" customHeight="1">
      <c r="A8" s="1"/>
      <c r="B8" s="13">
        <v>6</v>
      </c>
      <c r="C8" s="53"/>
      <c r="D8" s="18" t="s">
        <v>39</v>
      </c>
      <c r="E8" s="19" t="s">
        <v>37</v>
      </c>
      <c r="F8" s="10" t="s">
        <v>28</v>
      </c>
      <c r="G8" s="10">
        <v>60</v>
      </c>
      <c r="H8" s="21">
        <v>300</v>
      </c>
      <c r="I8" s="11">
        <f t="shared" si="0"/>
        <v>18000</v>
      </c>
      <c r="J8" s="16">
        <f t="shared" si="2"/>
        <v>3240</v>
      </c>
      <c r="K8" s="1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1" customHeight="1">
      <c r="A9" s="1"/>
      <c r="B9" s="8">
        <v>7</v>
      </c>
      <c r="C9" s="9" t="s">
        <v>40</v>
      </c>
      <c r="D9" s="14" t="s">
        <v>19</v>
      </c>
      <c r="E9" s="15" t="s">
        <v>20</v>
      </c>
      <c r="F9" s="10" t="s">
        <v>41</v>
      </c>
      <c r="G9" s="10">
        <f>25000/1000*700</f>
        <v>17500</v>
      </c>
      <c r="H9" s="21">
        <v>100</v>
      </c>
      <c r="I9" s="11">
        <f t="shared" si="0"/>
        <v>1750000</v>
      </c>
      <c r="J9" s="16">
        <f t="shared" si="2"/>
        <v>315000</v>
      </c>
      <c r="K9" s="1"/>
      <c r="L9" s="1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7.75" customHeight="1">
      <c r="A10" s="1"/>
      <c r="B10" s="13">
        <v>8</v>
      </c>
      <c r="C10" s="25" t="s">
        <v>42</v>
      </c>
      <c r="D10" s="26" t="s">
        <v>43</v>
      </c>
      <c r="E10" s="21" t="s">
        <v>44</v>
      </c>
      <c r="F10" s="27" t="s">
        <v>32</v>
      </c>
      <c r="G10" s="27">
        <v>3</v>
      </c>
      <c r="H10" s="21">
        <v>8000</v>
      </c>
      <c r="I10" s="11">
        <f t="shared" si="0"/>
        <v>24000</v>
      </c>
      <c r="J10" s="16">
        <f t="shared" si="2"/>
        <v>4320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1" customHeight="1">
      <c r="A11" s="1"/>
      <c r="B11" s="13">
        <v>9</v>
      </c>
      <c r="C11" s="51" t="s">
        <v>45</v>
      </c>
      <c r="D11" s="24" t="s">
        <v>46</v>
      </c>
      <c r="E11" s="28" t="s">
        <v>7</v>
      </c>
      <c r="F11" s="10" t="s">
        <v>32</v>
      </c>
      <c r="G11" s="27">
        <v>1</v>
      </c>
      <c r="H11" s="21">
        <v>32000</v>
      </c>
      <c r="I11" s="11">
        <f t="shared" si="0"/>
        <v>32000</v>
      </c>
      <c r="J11" s="16">
        <f t="shared" si="2"/>
        <v>5760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1" customHeight="1">
      <c r="A12" s="1"/>
      <c r="B12" s="8">
        <v>10</v>
      </c>
      <c r="C12" s="52"/>
      <c r="D12" s="24" t="s">
        <v>47</v>
      </c>
      <c r="E12" s="19" t="s">
        <v>44</v>
      </c>
      <c r="F12" s="10" t="s">
        <v>28</v>
      </c>
      <c r="G12" s="27">
        <v>12</v>
      </c>
      <c r="H12" s="11">
        <v>3000</v>
      </c>
      <c r="I12" s="11">
        <f t="shared" si="0"/>
        <v>36000</v>
      </c>
      <c r="J12" s="16">
        <f t="shared" si="2"/>
        <v>6480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1" customHeight="1">
      <c r="A13" s="1"/>
      <c r="B13" s="13">
        <v>11</v>
      </c>
      <c r="C13" s="52"/>
      <c r="D13" s="24" t="s">
        <v>48</v>
      </c>
      <c r="E13" s="28" t="s">
        <v>6</v>
      </c>
      <c r="F13" s="10" t="s">
        <v>49</v>
      </c>
      <c r="G13" s="27">
        <v>1100</v>
      </c>
      <c r="H13" s="11">
        <v>82</v>
      </c>
      <c r="I13" s="11">
        <f t="shared" si="0"/>
        <v>90200</v>
      </c>
      <c r="J13" s="16">
        <f t="shared" si="2"/>
        <v>16236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1" customHeight="1">
      <c r="A14" s="1"/>
      <c r="B14" s="13">
        <v>12</v>
      </c>
      <c r="C14" s="53"/>
      <c r="D14" s="24" t="s">
        <v>50</v>
      </c>
      <c r="E14" s="19" t="s">
        <v>44</v>
      </c>
      <c r="F14" s="10" t="s">
        <v>41</v>
      </c>
      <c r="G14" s="27">
        <v>0</v>
      </c>
      <c r="H14" s="11">
        <v>150</v>
      </c>
      <c r="I14" s="11">
        <f t="shared" si="0"/>
        <v>0</v>
      </c>
      <c r="J14" s="16">
        <f t="shared" si="2"/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1" customHeight="1">
      <c r="A15" s="1"/>
      <c r="B15" s="8">
        <v>13</v>
      </c>
      <c r="C15" s="65" t="s">
        <v>51</v>
      </c>
      <c r="D15" s="25" t="s">
        <v>52</v>
      </c>
      <c r="E15" s="10" t="s">
        <v>44</v>
      </c>
      <c r="F15" s="10" t="s">
        <v>32</v>
      </c>
      <c r="G15" s="10">
        <v>3</v>
      </c>
      <c r="H15" s="11">
        <v>55000</v>
      </c>
      <c r="I15" s="11">
        <f t="shared" si="0"/>
        <v>165000</v>
      </c>
      <c r="J15" s="16">
        <f t="shared" si="2"/>
        <v>29700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30.75" customHeight="1">
      <c r="A16" s="1"/>
      <c r="B16" s="13">
        <v>14</v>
      </c>
      <c r="C16" s="52"/>
      <c r="D16" s="18" t="s">
        <v>74</v>
      </c>
      <c r="E16" s="19" t="s">
        <v>54</v>
      </c>
      <c r="F16" s="10" t="s">
        <v>32</v>
      </c>
      <c r="G16" s="20">
        <v>1</v>
      </c>
      <c r="H16" s="11">
        <v>500000</v>
      </c>
      <c r="I16" s="11">
        <f t="shared" si="0"/>
        <v>500000</v>
      </c>
      <c r="J16" s="16">
        <f t="shared" si="2"/>
        <v>90000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1" customHeight="1">
      <c r="A17" s="1"/>
      <c r="B17" s="13">
        <v>15</v>
      </c>
      <c r="C17" s="52"/>
      <c r="D17" s="26" t="s">
        <v>55</v>
      </c>
      <c r="E17" s="21" t="s">
        <v>44</v>
      </c>
      <c r="F17" s="21" t="s">
        <v>32</v>
      </c>
      <c r="G17" s="21">
        <v>1</v>
      </c>
      <c r="H17" s="29">
        <v>100000</v>
      </c>
      <c r="I17" s="11">
        <f t="shared" si="0"/>
        <v>100000</v>
      </c>
      <c r="J17" s="16">
        <f t="shared" si="2"/>
        <v>18000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8.75" customHeight="1">
      <c r="A18" s="1"/>
      <c r="B18" s="8">
        <v>16</v>
      </c>
      <c r="C18" s="53"/>
      <c r="D18" s="30" t="s">
        <v>56</v>
      </c>
      <c r="E18" s="21" t="s">
        <v>44</v>
      </c>
      <c r="F18" s="21" t="s">
        <v>32</v>
      </c>
      <c r="G18" s="21">
        <v>0</v>
      </c>
      <c r="H18" s="29">
        <v>200000</v>
      </c>
      <c r="I18" s="11">
        <f t="shared" si="0"/>
        <v>0</v>
      </c>
      <c r="J18" s="16">
        <f t="shared" si="2"/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1" customHeight="1">
      <c r="A19" s="1"/>
      <c r="B19" s="13">
        <v>20</v>
      </c>
      <c r="C19" s="51" t="s">
        <v>63</v>
      </c>
      <c r="D19" s="24" t="s">
        <v>64</v>
      </c>
      <c r="E19" s="21" t="s">
        <v>44</v>
      </c>
      <c r="F19" s="27" t="s">
        <v>65</v>
      </c>
      <c r="G19" s="27">
        <v>700000</v>
      </c>
      <c r="H19" s="29">
        <v>2.75</v>
      </c>
      <c r="I19" s="11">
        <f t="shared" si="0"/>
        <v>1925000</v>
      </c>
      <c r="J19" s="16">
        <f t="shared" si="2"/>
        <v>346500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1" customHeight="1">
      <c r="A20" s="1"/>
      <c r="B20" s="13">
        <v>21</v>
      </c>
      <c r="C20" s="52"/>
      <c r="D20" s="26" t="s">
        <v>66</v>
      </c>
      <c r="E20" s="21" t="s">
        <v>44</v>
      </c>
      <c r="F20" s="27" t="s">
        <v>65</v>
      </c>
      <c r="G20" s="27">
        <v>700000</v>
      </c>
      <c r="H20" s="29">
        <v>0.2</v>
      </c>
      <c r="I20" s="11">
        <f t="shared" si="0"/>
        <v>140000</v>
      </c>
      <c r="J20" s="16">
        <f t="shared" si="2"/>
        <v>25200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1" customHeight="1">
      <c r="A21" s="1"/>
      <c r="B21" s="8">
        <v>22</v>
      </c>
      <c r="C21" s="53"/>
      <c r="D21" s="24" t="s">
        <v>75</v>
      </c>
      <c r="E21" s="21" t="s">
        <v>44</v>
      </c>
      <c r="F21" s="27" t="s">
        <v>65</v>
      </c>
      <c r="G21" s="27">
        <v>700000</v>
      </c>
      <c r="H21" s="29">
        <v>0.75</v>
      </c>
      <c r="I21" s="11">
        <f>G21*H21</f>
        <v>525000</v>
      </c>
      <c r="J21" s="16">
        <f t="shared" si="2"/>
        <v>94500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1" customHeight="1">
      <c r="A22" s="1"/>
      <c r="B22" s="13">
        <v>23</v>
      </c>
      <c r="C22" s="25" t="s">
        <v>8</v>
      </c>
      <c r="D22" s="31" t="s">
        <v>8</v>
      </c>
      <c r="E22" s="11" t="s">
        <v>9</v>
      </c>
      <c r="F22" s="21" t="s">
        <v>28</v>
      </c>
      <c r="G22" s="21">
        <v>1100</v>
      </c>
      <c r="H22" s="32">
        <v>45</v>
      </c>
      <c r="I22" s="11">
        <f t="shared" si="0"/>
        <v>49500</v>
      </c>
      <c r="J22" s="16">
        <f t="shared" si="2"/>
        <v>8910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1" customHeight="1">
      <c r="A23" s="1"/>
      <c r="B23" s="13">
        <v>24</v>
      </c>
      <c r="C23" s="25" t="s">
        <v>10</v>
      </c>
      <c r="D23" s="31" t="s">
        <v>10</v>
      </c>
      <c r="E23" s="21" t="s">
        <v>44</v>
      </c>
      <c r="F23" s="11"/>
      <c r="G23" s="11"/>
      <c r="H23" s="11"/>
      <c r="I23" s="11">
        <v>200000</v>
      </c>
      <c r="J23" s="16">
        <f t="shared" si="2"/>
        <v>36000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1" customHeight="1">
      <c r="A24" s="1"/>
      <c r="B24" s="33">
        <v>25</v>
      </c>
      <c r="C24" s="34" t="s">
        <v>68</v>
      </c>
      <c r="D24" s="34" t="s">
        <v>69</v>
      </c>
      <c r="E24" s="35" t="s">
        <v>44</v>
      </c>
      <c r="F24" s="36"/>
      <c r="G24" s="36"/>
      <c r="H24" s="36"/>
      <c r="I24" s="36">
        <v>100000</v>
      </c>
      <c r="J24" s="37">
        <f t="shared" si="2"/>
        <v>18000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>
      <c r="A25" s="1"/>
      <c r="B25" s="38"/>
      <c r="C25" s="38"/>
      <c r="D25" s="38"/>
      <c r="E25" s="38"/>
      <c r="F25" s="38"/>
      <c r="G25" s="54" t="s">
        <v>11</v>
      </c>
      <c r="H25" s="55"/>
      <c r="I25" s="39">
        <f t="shared" ref="I25:J25" si="3">SUM(I3:I24)</f>
        <v>17000040</v>
      </c>
      <c r="J25" s="40">
        <f t="shared" si="3"/>
        <v>2419336.7999999998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>
      <c r="A26" s="1"/>
      <c r="B26" s="41" t="s">
        <v>12</v>
      </c>
      <c r="C26" s="61" t="s">
        <v>13</v>
      </c>
      <c r="D26" s="58"/>
      <c r="E26" s="42" t="s">
        <v>4</v>
      </c>
      <c r="F26" s="4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A27" s="1"/>
      <c r="B27" s="11">
        <v>1</v>
      </c>
      <c r="C27" s="62" t="s">
        <v>76</v>
      </c>
      <c r="D27" s="58"/>
      <c r="E27" s="44">
        <f>I25</f>
        <v>17000040</v>
      </c>
      <c r="F27" s="4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A28" s="1"/>
      <c r="B28" s="11">
        <v>2</v>
      </c>
      <c r="C28" s="62" t="s">
        <v>15</v>
      </c>
      <c r="D28" s="58"/>
      <c r="E28" s="46">
        <v>130000</v>
      </c>
      <c r="F28" s="3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1"/>
      <c r="B29" s="11">
        <v>3</v>
      </c>
      <c r="C29" s="62" t="s">
        <v>16</v>
      </c>
      <c r="D29" s="58"/>
      <c r="E29" s="46">
        <v>70000</v>
      </c>
      <c r="F29" s="3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A30" s="1"/>
      <c r="B30" s="21">
        <v>4</v>
      </c>
      <c r="C30" s="62" t="s">
        <v>21</v>
      </c>
      <c r="D30" s="58"/>
      <c r="E30" s="46">
        <v>50000</v>
      </c>
      <c r="F30" s="3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1"/>
      <c r="B31" s="21">
        <v>5</v>
      </c>
      <c r="C31" s="62" t="s">
        <v>17</v>
      </c>
      <c r="D31" s="58"/>
      <c r="E31" s="46">
        <v>35000</v>
      </c>
      <c r="F31" s="3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1"/>
      <c r="B32" s="21">
        <v>6</v>
      </c>
      <c r="C32" s="62" t="s">
        <v>70</v>
      </c>
      <c r="D32" s="58"/>
      <c r="E32" s="46">
        <v>50000</v>
      </c>
      <c r="F32" s="3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>
      <c r="A33" s="1"/>
      <c r="B33" s="56" t="s">
        <v>11</v>
      </c>
      <c r="C33" s="57"/>
      <c r="D33" s="58"/>
      <c r="E33" s="47">
        <f>SUM(E27:E32)</f>
        <v>17335040</v>
      </c>
      <c r="F33" s="4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>
      <c r="A34" s="1"/>
      <c r="B34" s="59" t="s">
        <v>18</v>
      </c>
      <c r="C34" s="60"/>
      <c r="D34" s="60"/>
      <c r="E34" s="48">
        <f>E33/700</f>
        <v>24764.342857142856</v>
      </c>
      <c r="F34" s="3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</sheetData>
  <mergeCells count="15">
    <mergeCell ref="B33:D33"/>
    <mergeCell ref="B34:D34"/>
    <mergeCell ref="C26:D26"/>
    <mergeCell ref="C27:D27"/>
    <mergeCell ref="C28:D28"/>
    <mergeCell ref="C29:D29"/>
    <mergeCell ref="C30:D30"/>
    <mergeCell ref="C31:D31"/>
    <mergeCell ref="C32:D32"/>
    <mergeCell ref="G25:H25"/>
    <mergeCell ref="B1:J1"/>
    <mergeCell ref="C5:C8"/>
    <mergeCell ref="C11:C14"/>
    <mergeCell ref="C15:C18"/>
    <mergeCell ref="C19:C21"/>
  </mergeCells>
  <hyperlinks>
    <hyperlink ref="D6" r:id="rId1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MW - Ground Mounted - HT Sync</vt:lpstr>
      <vt:lpstr>700KW - Ground Mounted - LT Syn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tally</cp:lastModifiedBy>
  <dcterms:modified xsi:type="dcterms:W3CDTF">2025-01-08T15:59:51Z</dcterms:modified>
</cp:coreProperties>
</file>